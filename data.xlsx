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180" firstSheet="1"/>
  </bookViews>
  <sheets>
    <sheet name="数据统计" sheetId="2" r:id="rId1"/>
    <sheet name="资产表" sheetId="10" r:id="rId2"/>
    <sheet name="暴露面" sheetId="13" r:id="rId3"/>
    <sheet name="资产漏洞表" sheetId="5" r:id="rId4"/>
    <sheet name="告警表" sheetId="14" r:id="rId5"/>
    <sheet name="事件表" sheetId="6" r:id="rId6"/>
  </sheets>
  <definedNames>
    <definedName name="_xlnm._FilterDatabase" localSheetId="1" hidden="1">资产表!#REF!</definedName>
    <definedName name="_xlnm._FilterDatabase" localSheetId="2" hidden="1">暴露面!#REF!</definedName>
    <definedName name="_xlnm._FilterDatabase" localSheetId="3" hidden="1">资产漏洞表!#REF!</definedName>
    <definedName name="_xlnm._FilterDatabase" localSheetId="4" hidden="1">告警表!#REF!</definedName>
    <definedName name="_xlnm._FilterDatabase" localSheetId="5" hidden="1">事件表!#REF!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<sst xmlns="http://schemas.openxmlformats.org/spreadsheetml/2006/main" count="139" uniqueCount="134">
  <si>
    <t>注：填充色为浅黄色的单元格需要手动查找数据填充，其余数据从MSSP平台导出底数据后覆盖子表内容，再更新单元格L1和M1自动按照统计周期计算结果；</t>
  </si>
  <si>
    <t>当前时间</t>
  </si>
  <si>
    <t>统计周期</t>
  </si>
  <si>
    <t>P7</t>
  </si>
  <si>
    <t>TOP3的核心业务系统</t>
  </si>
  <si>
    <t>威胁运营</t>
  </si>
  <si>
    <t>重保时间周期</t>
  </si>
  <si>
    <t>安全策略调优数量</t>
  </si>
  <si>
    <t>外部威胁告警数量</t>
  </si>
  <si>
    <t>漏洞总数量</t>
  </si>
  <si>
    <t>威胁平均遏制时间</t>
  </si>
  <si>
    <t>TOP3核心资产漏洞分布</t>
  </si>
  <si>
    <t>系统1</t>
  </si>
  <si>
    <t>安全事件数</t>
  </si>
  <si>
    <t>系统2</t>
  </si>
  <si>
    <t>事件平均响应时长</t>
  </si>
  <si>
    <t>系统3</t>
  </si>
  <si>
    <t>事件闭环率</t>
  </si>
  <si>
    <t>弱口令数量</t>
  </si>
  <si>
    <t>提取管理员弱口令数量</t>
  </si>
  <si>
    <t>最新漏洞情报数量</t>
  </si>
  <si>
    <t>最新漏洞影响资产数</t>
  </si>
  <si>
    <t>提取事件表中未公开威胁类型工单中受影响资产的IP数量</t>
  </si>
  <si>
    <t>已闭环风险数</t>
  </si>
  <si>
    <t>受影响的最新漏洞数</t>
  </si>
  <si>
    <t>已防护漏洞数</t>
  </si>
  <si>
    <t>已修复漏洞数</t>
  </si>
  <si>
    <t>漏洞利用攻击次数</t>
  </si>
  <si>
    <t>P11</t>
  </si>
  <si>
    <t>前一服务周期被通报次数</t>
  </si>
  <si>
    <t>通报风险应对</t>
  </si>
  <si>
    <t>恶意外联次数</t>
  </si>
  <si>
    <t>漏扫次数</t>
  </si>
  <si>
    <t>本次汇报周期被通报次数</t>
  </si>
  <si>
    <t>P12</t>
  </si>
  <si>
    <t>「重要时期安全日志数」</t>
  </si>
  <si>
    <t>重要时期保障</t>
  </si>
  <si>
    <t>「重要时期告警数」</t>
  </si>
  <si>
    <t>「重要时期事件数」</t>
  </si>
  <si>
    <t>「遏制率」</t>
  </si>
  <si>
    <t>P14</t>
  </si>
  <si>
    <t>资产覆盖率</t>
  </si>
  <si>
    <t>威胁遏制率</t>
  </si>
  <si>
    <t>高危漏洞防护率</t>
  </si>
  <si>
    <t>平均分析时间</t>
  </si>
  <si>
    <t>平均响应时间</t>
  </si>
  <si>
    <t>已闭环漏洞数量</t>
  </si>
  <si>
    <t>威胁和事件数量</t>
  </si>
  <si>
    <t>两名高级安全工程师成本</t>
  </si>
  <si>
    <t>P24</t>
  </si>
  <si>
    <t>安全事件总数</t>
  </si>
  <si>
    <t>事件平均响应时间</t>
  </si>
  <si>
    <t>事件平均处置时长</t>
  </si>
  <si>
    <t>安全事件类型TOP5</t>
  </si>
  <si>
    <t>渗透框架</t>
  </si>
  <si>
    <t>平均处置时间（分钟）</t>
  </si>
  <si>
    <t>识别</t>
  </si>
  <si>
    <t>木马</t>
  </si>
  <si>
    <t>响应</t>
  </si>
  <si>
    <t>代理工具</t>
  </si>
  <si>
    <t>遏制</t>
  </si>
  <si>
    <t>挖矿</t>
  </si>
  <si>
    <t>处置</t>
  </si>
  <si>
    <t>账号安全</t>
  </si>
  <si>
    <t>闭环</t>
  </si>
  <si>
    <t>平均响应时效趋势</t>
  </si>
  <si>
    <t>月份</t>
  </si>
  <si>
    <t>平均响应时长</t>
  </si>
  <si>
    <t>P25</t>
  </si>
  <si>
    <t>外部攻击日志数量（XDR）</t>
  </si>
  <si>
    <t>攻击来源地域分布top5</t>
  </si>
  <si>
    <t>攻击数量</t>
  </si>
  <si>
    <t>攻击类型top5</t>
  </si>
  <si>
    <t>遭受外部攻击的主机</t>
  </si>
  <si>
    <t>日志数量</t>
  </si>
  <si>
    <t>威胁总览</t>
  </si>
  <si>
    <t>实时威胁告警数量</t>
  </si>
  <si>
    <t>中国 上海市</t>
  </si>
  <si>
    <t>代码注入</t>
  </si>
  <si>
    <t>192.168.22.54（应用服务器）</t>
  </si>
  <si>
    <t>MSS威胁工单数量</t>
  </si>
  <si>
    <t>中国 浙江省</t>
  </si>
  <si>
    <t>信息泄露</t>
  </si>
  <si>
    <t>192.168.22.23（天津堡垒机）</t>
  </si>
  <si>
    <t>威胁工单平均响应时间</t>
  </si>
  <si>
    <t>中国 天津市</t>
  </si>
  <si>
    <t>扫描工具</t>
  </si>
  <si>
    <t>192.168.9.10（资产发现系统默认分组）</t>
  </si>
  <si>
    <t>策略检查</t>
  </si>
  <si>
    <t>安全设备策略检查次数</t>
  </si>
  <si>
    <t>中国 北京市</t>
  </si>
  <si>
    <t>开源和商业应用漏洞</t>
  </si>
  <si>
    <t>192.168.22.55（应用备用服务器）</t>
  </si>
  <si>
    <t>已优化的策略风险数量</t>
  </si>
  <si>
    <t>中国 山东省</t>
  </si>
  <si>
    <t>Web框架漏洞</t>
  </si>
  <si>
    <t>192.168.22.4（天津ssl vpn）</t>
  </si>
  <si>
    <t>最新威胁</t>
  </si>
  <si>
    <t>最新威胁情报数量</t>
  </si>
  <si>
    <t>最新威胁影响资产数</t>
  </si>
  <si>
    <t>威胁运营趋势---XDR平台获取</t>
  </si>
  <si>
    <t>外部攻击数</t>
  </si>
  <si>
    <t>恶意外联数</t>
  </si>
  <si>
    <t>内部横向攻击数</t>
  </si>
  <si>
    <t>告警数</t>
  </si>
  <si>
    <t>有效事件数</t>
  </si>
  <si>
    <t>风险主机数</t>
  </si>
  <si>
    <t>P26</t>
  </si>
  <si>
    <t>高危可利用漏洞数</t>
  </si>
  <si>
    <t>已闭环外网资产漏洞数</t>
  </si>
  <si>
    <t>管理员弱密码数</t>
  </si>
  <si>
    <t>高危可利用漏洞闭环率</t>
  </si>
  <si>
    <t>漏洞分布</t>
  </si>
  <si>
    <t>总数</t>
  </si>
  <si>
    <t>已闭环数</t>
  </si>
  <si>
    <t>闭环率</t>
  </si>
  <si>
    <t>高危漏洞</t>
  </si>
  <si>
    <t>中危漏洞</t>
  </si>
  <si>
    <t>低危漏洞</t>
  </si>
  <si>
    <t>漏洞趋势</t>
  </si>
  <si>
    <t>剩余漏洞数量</t>
  </si>
  <si>
    <t>已闭环漏洞数</t>
  </si>
  <si>
    <t>P16</t>
  </si>
  <si>
    <t>重要时期值守次数</t>
  </si>
  <si>
    <t>重要时期安全态势分布</t>
  </si>
  <si>
    <t>日均攻击数</t>
  </si>
  <si>
    <t>防御率</t>
  </si>
  <si>
    <t>概览数据</t>
  </si>
  <si>
    <t>重要时期安全事件数</t>
  </si>
  <si>
    <t>中秋（25/9/15-9/17）</t>
  </si>
  <si>
    <t>业务可用性保障</t>
  </si>
  <si>
    <t>国庆（25/10/1-10/8）</t>
  </si>
  <si>
    <t>元旦（26/1/1-1/3）</t>
  </si>
  <si>
    <t>春节（26/2/10-2/25）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</si>
</sst>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yyyy/m/d;@"/>
    <numFmt numFmtId="178" formatCode="0.00_ "/>
    <numFmt numFmtId="179" formatCode="0\.0,&quot;万&quot;"/>
  </numFmts>
  <fonts count="25">
    <font>
      <sz val="11"/>
      <color theme="1"/>
      <name val="宋体"/>
      <charset val="134"/>
      <scheme val="minor"/>
    </font>
    <font>
      <sz val="10"/>
      <color rgb="FF14161A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8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3" fillId="0" borderId="1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20" applyNumberFormat="0" applyAlignment="0" applyProtection="0">
      <alignment vertical="center"/>
    </xf>
    <xf numFmtId="0" fontId="15" fillId="8" borderId="21" applyNumberFormat="0" applyAlignment="0" applyProtection="0">
      <alignment vertical="center"/>
    </xf>
    <xf numFmtId="0" fontId="16" fillId="8" borderId="20" applyNumberFormat="0" applyAlignment="0" applyProtection="0">
      <alignment vertical="center"/>
    </xf>
    <xf numFmtId="0" fontId="17" fillId="9" borderId="22" applyNumberFormat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176" fontId="1" fillId="2" borderId="1" xfId="0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0" fontId="0" fillId="0" borderId="5" xfId="0" applyBorder="1">
      <alignment vertical="center"/>
    </xf>
    <xf numFmtId="14" fontId="0" fillId="4" borderId="5" xfId="0" applyNumberForma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5" xfId="0" applyFill="1" applyBorder="1">
      <alignment vertical="center"/>
    </xf>
    <xf numFmtId="0" fontId="0" fillId="0" borderId="8" xfId="0" applyBorder="1" applyAlignment="1">
      <alignment horizontal="center" vertical="center" wrapText="1"/>
    </xf>
    <xf numFmtId="10" fontId="0" fillId="0" borderId="5" xfId="0" applyNumberFormat="1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4" xfId="0" applyBorder="1">
      <alignment vertical="center"/>
    </xf>
    <xf numFmtId="0" fontId="0" fillId="0" borderId="9" xfId="0" applyBorder="1" applyAlignment="1">
      <alignment vertical="center" wrapText="1"/>
    </xf>
    <xf numFmtId="0" fontId="0" fillId="0" borderId="0" xfId="0" applyBorder="1">
      <alignment vertical="center"/>
    </xf>
    <xf numFmtId="0" fontId="0" fillId="0" borderId="11" xfId="0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178" fontId="0" fillId="0" borderId="5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" fontId="0" fillId="0" borderId="5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14" fontId="0" fillId="0" borderId="10" xfId="0" applyNumberFormat="1" applyBorder="1" applyAlignment="1">
      <alignment horizontal="center" vertical="center"/>
    </xf>
    <xf numFmtId="179" fontId="0" fillId="3" borderId="5" xfId="0" applyNumberFormat="1" applyFill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3" fillId="3" borderId="5" xfId="0" applyFont="1" applyFill="1" applyBorder="1" applyAlignment="1">
      <alignment horizontal="right" vertical="center"/>
    </xf>
    <xf numFmtId="0" fontId="4" fillId="3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3" borderId="5" xfId="0" applyFill="1" applyBorder="1">
      <alignment vertical="center"/>
    </xf>
    <xf numFmtId="9" fontId="0" fillId="3" borderId="5" xfId="0" applyNumberFormat="1" applyFill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" fontId="0" fillId="0" borderId="13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1F7C99"/>
      <color rgb="0070E3E1"/>
      <color rgb="00103C66"/>
      <color rgb="0000D860"/>
      <color rgb="00EB2E09"/>
      <color rgb="00EA9B1E"/>
      <color rgb="00EAD21D"/>
      <color rgb="00005A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97"/>
  <sheetViews>
    <sheetView showGridLines="0" tabSelected="1" workbookViewId="0">
      <selection activeCell="G4" sqref="G4:G9"/>
    </sheetView>
  </sheetViews>
  <sheetFormatPr defaultColWidth="9" defaultRowHeight="14.4"/>
  <cols>
    <col min="2" max="2" width="18.2592592592593" customWidth="1"/>
    <col min="3" max="3" width="24.8333333333333" customWidth="1"/>
    <col min="4" max="4" width="20.6759259259259" customWidth="1"/>
    <col min="5" max="5" width="19.2314814814815" customWidth="1"/>
    <col min="6" max="6" width="28.9907407407407" customWidth="1"/>
    <col min="7" max="7" width="14.1018518518519" customWidth="1"/>
    <col min="8" max="8" width="19.8611111111111" customWidth="1"/>
    <col min="9" max="9" width="21.4722222222222" customWidth="1"/>
    <col min="10" max="10" width="22.2685185185185" customWidth="1"/>
    <col min="11" max="11" width="20.9907407407407" customWidth="1"/>
    <col min="12" max="12" width="21.9537037037037" customWidth="1"/>
    <col min="13" max="13" width="21.4722222222222" customWidth="1"/>
    <col min="14" max="14" width="18.5833333333333" customWidth="1"/>
    <col min="15" max="16" width="9.61111111111111"/>
    <col min="17" max="19" width="12.9259259259259"/>
    <col min="20" max="22" width="9.61111111111111"/>
  </cols>
  <sheetData>
    <row r="1" ht="37" customHeight="1" spans="2:13">
      <c r="B1" s="8" t="s">
        <v>0</v>
      </c>
      <c r="C1" s="9"/>
      <c r="D1" s="9"/>
      <c r="E1" s="9"/>
      <c r="F1" s="10"/>
      <c r="H1" s="11" t="s">
        <v>1</v>
      </c>
      <c r="I1" s="12">
        <f ca="1">TODAY()</f>
        <v>46162</v>
      </c>
      <c r="K1" s="13" t="s">
        <v>2</v>
      </c>
      <c r="L1" s="14">
        <v>45870</v>
      </c>
      <c r="M1" s="12">
        <v>46098</v>
      </c>
    </row>
    <row r="3" spans="2:13">
      <c r="B3" s="15" t="s">
        <v>3</v>
      </c>
      <c r="C3" s="16" t="s">
        <v>4</v>
      </c>
      <c r="D3" s="17"/>
      <c r="E3" s="18"/>
      <c r="F3" s="19" t="s">
        <v>5</v>
      </c>
      <c r="G3" s="19"/>
      <c r="K3" t="s">
        <v>6</v>
      </c>
    </row>
    <row r="4" spans="2:13">
      <c r="B4" s="20"/>
      <c r="C4" s="21"/>
      <c r="D4" s="17"/>
      <c r="E4" s="22"/>
      <c r="F4" s="13" t="s">
        <v>7</v>
      </c>
      <c r="G4" s="17"/>
    </row>
    <row r="5" spans="2:13">
      <c r="B5" s="20"/>
      <c r="C5" s="23"/>
      <c r="D5" s="17"/>
      <c r="E5" s="22"/>
      <c r="F5" s="13" t="s">
        <v>8</v>
      </c>
      <c r="G5" s="24"/>
    </row>
    <row r="6" spans="2:13">
      <c r="B6" s="25"/>
      <c r="C6" s="13" t="s">
        <v>9</v>
      </c>
      <c r="D6" s="24"/>
      <c r="E6" s="22"/>
      <c r="F6" s="13" t="s">
        <v>10</v>
      </c>
      <c r="G6" s="24"/>
    </row>
    <row r="7" spans="2:13">
      <c r="B7" s="26" t="s">
        <v>11</v>
      </c>
      <c r="C7" s="27" t="s">
        <v>12</v>
      </c>
      <c r="D7" s="17"/>
      <c r="E7" s="22"/>
      <c r="F7" s="13" t="s">
        <v>13</v>
      </c>
      <c r="G7" s="24"/>
    </row>
    <row r="8" spans="2:13">
      <c r="B8" s="28"/>
      <c r="C8" s="27" t="s">
        <v>14</v>
      </c>
      <c r="D8" s="17"/>
      <c r="E8" s="22"/>
      <c r="F8" s="13" t="s">
        <v>15</v>
      </c>
      <c r="G8" s="24"/>
    </row>
    <row r="9" spans="2:13">
      <c r="B9" s="28"/>
      <c r="C9" s="27" t="s">
        <v>16</v>
      </c>
      <c r="D9" s="17"/>
      <c r="E9" s="22"/>
      <c r="F9" s="13" t="s">
        <v>17</v>
      </c>
      <c r="G9" s="29"/>
    </row>
    <row r="10" ht="15" customHeight="1" spans="2:13">
      <c r="B10" s="30"/>
      <c r="C10" s="31" t="s">
        <v>18</v>
      </c>
      <c r="D10" s="17"/>
      <c r="E10" s="32" t="s">
        <v>19</v>
      </c>
      <c r="F10" s="33"/>
      <c r="G10" s="34"/>
    </row>
    <row r="11" spans="2:13">
      <c r="B11" s="35"/>
      <c r="C11" s="31" t="s">
        <v>20</v>
      </c>
      <c r="D11" s="24"/>
      <c r="E11" s="32"/>
      <c r="F11" s="33"/>
      <c r="G11" s="34"/>
    </row>
    <row r="12" ht="16" customHeight="1" spans="2:13">
      <c r="B12" s="35"/>
      <c r="C12" s="31" t="s">
        <v>21</v>
      </c>
      <c r="D12" s="17"/>
      <c r="E12" s="32" t="s">
        <v>22</v>
      </c>
      <c r="F12" s="33"/>
      <c r="G12" s="34"/>
    </row>
    <row r="13" spans="2:13">
      <c r="B13" s="35"/>
      <c r="C13" s="31"/>
      <c r="D13" s="24"/>
      <c r="E13" s="32"/>
      <c r="F13" s="33"/>
      <c r="G13" s="34"/>
    </row>
    <row r="14" spans="2:13">
      <c r="B14" s="35"/>
      <c r="C14" s="31" t="s">
        <v>23</v>
      </c>
      <c r="D14" s="24"/>
      <c r="E14" s="32"/>
      <c r="F14" s="33"/>
      <c r="G14" s="34"/>
    </row>
    <row r="15" ht="18" customHeight="1" spans="2:13">
      <c r="B15" s="35"/>
      <c r="C15" s="31" t="s">
        <v>24</v>
      </c>
      <c r="D15" s="17"/>
      <c r="E15" s="32" t="s">
        <v>22</v>
      </c>
      <c r="F15" s="33"/>
      <c r="G15" s="34"/>
    </row>
    <row r="16" spans="2:13">
      <c r="B16" s="35"/>
      <c r="C16" s="31" t="s">
        <v>25</v>
      </c>
      <c r="D16" s="24"/>
      <c r="E16" s="22"/>
      <c r="F16" s="33"/>
      <c r="G16" s="34"/>
    </row>
    <row r="17" spans="2:7">
      <c r="B17" s="35"/>
      <c r="C17" s="31" t="s">
        <v>26</v>
      </c>
      <c r="D17" s="24"/>
      <c r="E17" s="22"/>
      <c r="G17" s="34"/>
    </row>
    <row r="18" spans="2:7">
      <c r="B18" s="36"/>
      <c r="C18" s="31" t="s">
        <v>27</v>
      </c>
      <c r="D18" s="17"/>
      <c r="E18" s="37"/>
      <c r="F18" s="38"/>
      <c r="G18" s="39"/>
    </row>
    <row r="19" spans="2:7">
      <c r="B19" s="40"/>
    </row>
    <row r="20" spans="2:7">
      <c r="B20" s="41" t="s">
        <v>28</v>
      </c>
      <c r="C20" s="13" t="s">
        <v>29</v>
      </c>
      <c r="D20" s="17">
        <v>1</v>
      </c>
      <c r="E20" s="33"/>
      <c r="F20" s="33"/>
      <c r="G20" s="33"/>
    </row>
    <row r="21" spans="2:7">
      <c r="B21" s="42" t="s">
        <v>30</v>
      </c>
      <c r="C21" s="13" t="s">
        <v>31</v>
      </c>
      <c r="D21" s="17">
        <v>1</v>
      </c>
      <c r="E21" s="33"/>
      <c r="F21" s="33"/>
      <c r="G21" s="33"/>
    </row>
    <row r="22" spans="2:7">
      <c r="B22" s="42"/>
      <c r="C22" s="13" t="s">
        <v>32</v>
      </c>
      <c r="D22" s="17">
        <v>2</v>
      </c>
      <c r="E22" s="33"/>
      <c r="F22" s="33"/>
      <c r="G22" s="33"/>
    </row>
    <row r="23" spans="2:7">
      <c r="B23" s="42"/>
      <c r="C23" s="13" t="s">
        <v>26</v>
      </c>
      <c r="D23" s="43">
        <f>COUNTIFS(资产漏洞表!P:P,"已修复")</f>
        <v>0</v>
      </c>
      <c r="E23" s="33"/>
      <c r="F23" s="33"/>
      <c r="G23" s="33"/>
    </row>
    <row r="24" spans="2:7">
      <c r="B24" s="42"/>
      <c r="C24" s="13" t="s">
        <v>25</v>
      </c>
      <c r="D24" s="43">
        <f>COUNTIFS(资产漏洞表!P:P,"已防护")</f>
        <v>0</v>
      </c>
      <c r="E24" s="33"/>
      <c r="F24" s="33"/>
      <c r="G24" s="33"/>
    </row>
    <row r="25" spans="2:7">
      <c r="B25" s="44"/>
      <c r="C25" s="13" t="s">
        <v>33</v>
      </c>
      <c r="D25" s="17">
        <v>3</v>
      </c>
      <c r="E25" s="33"/>
      <c r="F25" s="33"/>
      <c r="G25" s="33"/>
    </row>
    <row r="26" spans="2:7">
      <c r="B26" s="40"/>
      <c r="D26" s="45"/>
    </row>
    <row r="27" spans="2:7">
      <c r="B27" s="41" t="s">
        <v>34</v>
      </c>
      <c r="C27" s="13" t="s">
        <v>35</v>
      </c>
      <c r="D27" s="17">
        <v>1</v>
      </c>
    </row>
    <row r="28" spans="2:7">
      <c r="B28" s="42" t="s">
        <v>36</v>
      </c>
      <c r="C28" s="13" t="s">
        <v>37</v>
      </c>
      <c r="D28" s="17">
        <v>2</v>
      </c>
    </row>
    <row r="29" spans="2:7">
      <c r="B29" s="42"/>
      <c r="C29" s="13" t="s">
        <v>38</v>
      </c>
      <c r="D29" s="17">
        <v>3</v>
      </c>
    </row>
    <row r="30" spans="2:7">
      <c r="B30" s="44"/>
      <c r="C30" s="13" t="s">
        <v>39</v>
      </c>
      <c r="D30" s="17">
        <v>4</v>
      </c>
    </row>
    <row r="31" spans="2:7">
      <c r="B31" s="40"/>
      <c r="D31" s="45"/>
    </row>
    <row r="32" spans="2:7">
      <c r="B32" s="41" t="s">
        <v>40</v>
      </c>
      <c r="C32" s="13" t="s">
        <v>41</v>
      </c>
      <c r="D32" s="17">
        <v>100</v>
      </c>
    </row>
    <row r="33" spans="2:14">
      <c r="B33" s="42"/>
      <c r="C33" s="13" t="s">
        <v>42</v>
      </c>
      <c r="D33" s="17">
        <v>100</v>
      </c>
    </row>
    <row r="34" spans="2:14">
      <c r="B34" s="42"/>
      <c r="C34" s="13" t="s">
        <v>43</v>
      </c>
      <c r="D34" s="43" t="e">
        <f>COUNTIFS(资产漏洞表!E:E,"高危",资产漏洞表!P:P,"已防护")/COUNTIFS(资产漏洞表!E:E,"高危")</f>
        <v>#DIV/0!</v>
      </c>
    </row>
    <row r="35" spans="2:14">
      <c r="B35" s="42"/>
      <c r="C35" s="13" t="s">
        <v>44</v>
      </c>
      <c r="D35" s="43" t="e">
        <f>AVERAGEIFS(事件表!AZ:AZ,事件表!AZ:AZ,"&lt;&gt;",事件表!AW:AW,"已通告",事件表!A:A,"*事件*")</f>
        <v>#DIV/0!</v>
      </c>
    </row>
    <row r="36" spans="2:14">
      <c r="B36" s="42"/>
      <c r="C36" s="13" t="s">
        <v>45</v>
      </c>
      <c r="D36" s="43" t="e">
        <f>AVERAGEIFS(事件表!BA:BA,事件表!BA:BA,"&lt;&gt;",事件表!AW:AW,"已通告",事件表!A:A,"*事件*")</f>
        <v>#DIV/0!</v>
      </c>
    </row>
    <row r="37" spans="2:14">
      <c r="B37" s="42"/>
      <c r="C37" s="13" t="s">
        <v>46</v>
      </c>
      <c r="D37" s="43">
        <f>COUNTIFS(资产漏洞表!P:P,"*已*")</f>
        <v>0</v>
      </c>
    </row>
    <row r="38" spans="2:14">
      <c r="B38" s="42"/>
      <c r="C38" s="13" t="s">
        <v>47</v>
      </c>
      <c r="D38" s="43">
        <f>COUNTIFS(事件表!B:B,"&gt;="&amp;L1,事件表!B:B,"&lt;="&amp;M1)</f>
        <v>0</v>
      </c>
    </row>
    <row r="39" spans="2:14">
      <c r="B39" s="44"/>
      <c r="C39" s="13" t="s">
        <v>48</v>
      </c>
      <c r="D39" s="17">
        <v>20</v>
      </c>
    </row>
    <row r="40" spans="2:14">
      <c r="B40" s="40"/>
      <c r="D40" s="45"/>
    </row>
    <row r="41" spans="2:14">
      <c r="B41" s="40"/>
      <c r="D41" s="45"/>
    </row>
    <row r="42" spans="2:14">
      <c r="B42" s="40"/>
      <c r="D42" s="45"/>
    </row>
    <row r="43" spans="2:14">
      <c r="B43" s="40"/>
      <c r="D43" s="45"/>
    </row>
    <row r="44" spans="2:14">
      <c r="B44" s="40"/>
      <c r="D44" s="45"/>
    </row>
    <row r="45" spans="2:14">
      <c r="B45" s="40"/>
      <c r="D45" s="45"/>
    </row>
    <row r="46" spans="2:14">
      <c r="B46" s="40"/>
    </row>
    <row r="47" spans="2:14">
      <c r="B47" s="46"/>
    </row>
    <row r="48" spans="2:14">
      <c r="B48" s="11" t="s">
        <v>49</v>
      </c>
      <c r="C48" s="24" t="s">
        <v>50</v>
      </c>
      <c r="D48" s="24" t="s">
        <v>51</v>
      </c>
      <c r="E48" s="13" t="s">
        <v>52</v>
      </c>
      <c r="F48" s="24" t="s">
        <v>17</v>
      </c>
      <c r="G48" s="47"/>
      <c r="H48" s="18"/>
      <c r="I48" s="47"/>
      <c r="J48" s="47"/>
      <c r="K48" s="47"/>
      <c r="L48" s="47"/>
      <c r="M48" s="47"/>
      <c r="N48" s="48"/>
    </row>
    <row r="49" spans="2:14">
      <c r="B49" s="11"/>
      <c r="C49" s="24">
        <f>COUNTIFS(事件表!A:A,"*事件*",事件表!B:B,"&gt;="&amp;L1,事件表!B:B,"&lt;="&amp;M1)</f>
        <v>0</v>
      </c>
      <c r="D49" s="49" t="e">
        <f>AVERAGEIFS(事件表!BA:BA,事件表!BA:BA,"&lt;&gt;",事件表!AW:AW,"已通告",事件表!A:A,"*事件*")</f>
        <v>#DIV/0!</v>
      </c>
      <c r="E49" s="49" t="e">
        <f>AVERAGEIFS(事件表!BC:BC,事件表!BC:BC,"&lt;&gt;",事件表!AW:AW,"已通告",事件表!A:A,"*事件*")</f>
        <v>#DIV/0!</v>
      </c>
      <c r="F49" s="50" t="e">
        <f>(COUNTIFS(事件表!A:A,"*事件*",事件表!I:I,"*已*",事件表!B:B,"&gt;="&amp;L1,事件表!B:B,"&lt;="&amp;M1)+COUNTIFS(事件表!A:A,"*事件*",事件表!I:I,"*不处置*",事件表!B:B,"&gt;="&amp;L1,事件表!B:B,"&lt;="&amp;M1))/C49</f>
        <v>#DIV/0!</v>
      </c>
      <c r="H49" s="22"/>
      <c r="I49" s="33"/>
      <c r="J49" s="33"/>
      <c r="K49" s="33"/>
      <c r="L49" s="33"/>
      <c r="M49" s="33"/>
      <c r="N49" s="34"/>
    </row>
    <row r="50" spans="2:14">
      <c r="B50" s="51"/>
      <c r="H50" s="22"/>
      <c r="I50" s="33"/>
      <c r="J50" s="33"/>
      <c r="K50" s="33"/>
      <c r="L50" s="33"/>
      <c r="M50" s="33"/>
      <c r="N50" s="34"/>
    </row>
    <row r="51" spans="2:14">
      <c r="B51" s="11" t="s">
        <v>53</v>
      </c>
      <c r="C51" s="52" t="s">
        <v>54</v>
      </c>
      <c r="D51" s="24">
        <f>COUNTIFS(事件表!C:C,C51,事件表!A:A,"*事件*")</f>
        <v>0</v>
      </c>
      <c r="E51" s="11" t="s">
        <v>55</v>
      </c>
      <c r="F51" s="24" t="s">
        <v>56</v>
      </c>
      <c r="G51" s="53" t="e">
        <f>AVERAGEIFS(事件表!AZ:AZ,事件表!AZ:AZ,"&lt;&gt;",事件表!AW:AW,"已通告",事件表!A:A,"*事件*")</f>
        <v>#DIV/0!</v>
      </c>
      <c r="H51" s="22"/>
      <c r="I51" s="33"/>
      <c r="J51" s="33"/>
      <c r="K51" s="33"/>
      <c r="L51" s="33"/>
      <c r="M51" s="33"/>
      <c r="N51" s="34"/>
    </row>
    <row r="52" spans="2:14">
      <c r="B52" s="11"/>
      <c r="C52" s="54" t="s">
        <v>57</v>
      </c>
      <c r="D52" s="24">
        <f>COUNTIFS(事件表!C:C,C52,事件表!A:A,"*事件*")</f>
        <v>0</v>
      </c>
      <c r="E52" s="11"/>
      <c r="F52" s="24" t="s">
        <v>58</v>
      </c>
      <c r="G52" s="53" t="e">
        <f>AVERAGEIFS(事件表!BA:BA,事件表!BA:BA,"&lt;&gt;",事件表!AW:AW,"已通告",事件表!A:A,"*事件*")</f>
        <v>#DIV/0!</v>
      </c>
      <c r="H52" s="22"/>
      <c r="I52" s="33"/>
      <c r="J52" s="33"/>
      <c r="K52" s="33"/>
      <c r="L52" s="33"/>
      <c r="M52" s="33"/>
      <c r="N52" s="34"/>
    </row>
    <row r="53" spans="2:14">
      <c r="B53" s="11"/>
      <c r="C53" s="54" t="s">
        <v>59</v>
      </c>
      <c r="D53" s="24">
        <f>COUNTIFS(事件表!C:C,C53,事件表!A:A,"*事件*")</f>
        <v>0</v>
      </c>
      <c r="E53" s="11"/>
      <c r="F53" s="24" t="s">
        <v>60</v>
      </c>
      <c r="G53" s="53" t="e">
        <f>AVERAGEIFS(事件表!BB:BB,事件表!BB:BB,"&lt;&gt;",事件表!AW:AW,"已通告",事件表!A:A,"*事件*")</f>
        <v>#DIV/0!</v>
      </c>
      <c r="H53" s="22"/>
      <c r="I53" s="33"/>
      <c r="J53" s="33"/>
      <c r="K53" s="33"/>
      <c r="L53" s="33"/>
      <c r="M53" s="33"/>
      <c r="N53" s="34"/>
    </row>
    <row r="54" spans="2:14">
      <c r="B54" s="11"/>
      <c r="C54" s="54" t="s">
        <v>61</v>
      </c>
      <c r="D54" s="24">
        <f>COUNTIFS(事件表!C:C,C54,事件表!A:A,"*事件*")</f>
        <v>0</v>
      </c>
      <c r="E54" s="11"/>
      <c r="F54" s="24" t="s">
        <v>62</v>
      </c>
      <c r="G54" s="53" t="e">
        <f>AVERAGEIFS(事件表!BC:BC,事件表!BC:BC,"&lt;&gt;",事件表!AW:AW,"已通告",事件表!A:A,"*事件*")</f>
        <v>#DIV/0!</v>
      </c>
      <c r="H54" s="22"/>
      <c r="I54" s="33"/>
      <c r="J54" s="33"/>
      <c r="K54" s="33"/>
      <c r="L54" s="33"/>
      <c r="M54" s="33"/>
      <c r="N54" s="34"/>
    </row>
    <row r="55" spans="2:14">
      <c r="B55" s="11"/>
      <c r="C55" s="54" t="s">
        <v>63</v>
      </c>
      <c r="D55" s="24">
        <f>COUNTIFS(事件表!C:C,C55,事件表!A:A,"*事件*")</f>
        <v>0</v>
      </c>
      <c r="E55" s="11"/>
      <c r="F55" s="24" t="s">
        <v>64</v>
      </c>
      <c r="G55" s="53" t="e">
        <f>AVERAGEIFS(事件表!BD:BD,事件表!BD:BD,"&lt;&gt;",事件表!AW:AW,"已通告",事件表!A:A,"*事件*")</f>
        <v>#DIV/0!</v>
      </c>
      <c r="H55" s="22"/>
      <c r="I55" s="33"/>
      <c r="J55" s="33"/>
      <c r="K55" s="33"/>
      <c r="L55" s="33"/>
      <c r="M55" s="33"/>
      <c r="N55" s="34"/>
    </row>
    <row r="56" spans="2:14">
      <c r="B56" s="51"/>
      <c r="H56" s="22"/>
      <c r="I56" s="33"/>
      <c r="J56" s="33"/>
      <c r="K56" s="33"/>
      <c r="L56" s="33"/>
      <c r="M56" s="33"/>
      <c r="N56" s="34"/>
    </row>
    <row r="57" spans="2:14">
      <c r="B57" s="13" t="s">
        <v>65</v>
      </c>
      <c r="C57" s="13"/>
      <c r="D57" s="13"/>
      <c r="E57" s="13"/>
      <c r="F57" s="13"/>
      <c r="G57" s="55"/>
      <c r="H57" s="37"/>
      <c r="I57" s="38"/>
      <c r="J57" s="38"/>
      <c r="K57" s="38"/>
      <c r="L57" s="38"/>
      <c r="M57" s="38"/>
      <c r="N57" s="39"/>
    </row>
    <row r="58" spans="2:14">
      <c r="B58" s="13" t="s">
        <v>66</v>
      </c>
      <c r="C58" s="24" t="str">
        <f>TEXT(L1,"YYYY-MM")</f>
        <v>2025-08</v>
      </c>
      <c r="D58" s="12" t="str">
        <f>TEXT(DATE(YEAR(C58),MONTH(C58)+1,DAY(C58)),"YYYY-MM")</f>
        <v>2025-09</v>
      </c>
      <c r="E58" s="12" t="str">
        <f t="shared" ref="E58:N58" si="0">TEXT(DATE(YEAR(D58),MONTH(D58)+1,DAY(D58)),"YYYY-MM")</f>
        <v>2025-10</v>
      </c>
      <c r="F58" s="12" t="str">
        <f t="shared" si="0"/>
        <v>2025-11</v>
      </c>
      <c r="G58" s="12" t="str">
        <f t="shared" si="0"/>
        <v>2025-12</v>
      </c>
      <c r="H58" s="56" t="str">
        <f t="shared" si="0"/>
        <v>2026-01</v>
      </c>
      <c r="I58" s="56" t="str">
        <f t="shared" si="0"/>
        <v>2026-02</v>
      </c>
      <c r="J58" s="56" t="str">
        <f t="shared" si="0"/>
        <v>2026-03</v>
      </c>
      <c r="K58" s="56" t="str">
        <f t="shared" si="0"/>
        <v>2026-04</v>
      </c>
      <c r="L58" s="56" t="str">
        <f t="shared" si="0"/>
        <v>2026-05</v>
      </c>
      <c r="M58" s="56" t="str">
        <f t="shared" si="0"/>
        <v>2026-06</v>
      </c>
      <c r="N58" s="56" t="str">
        <f t="shared" si="0"/>
        <v>2026-07</v>
      </c>
    </row>
    <row r="59" spans="2:14">
      <c r="B59" s="13" t="s">
        <v>67</v>
      </c>
      <c r="C59" s="49" t="e">
        <f>AVERAGEIFS(事件表!BA:BA,事件表!$B:$B,"&gt;="&amp;DATE(YEAR(C58),MONTH(C58),1),事件表!$B:$B,"&lt;="&amp;DATE(YEAR(C58),MONTH(C58),DAY(EOMONTH(C58,0))))</f>
        <v>#DIV/0!</v>
      </c>
      <c r="D59" s="49" t="e">
        <f>AVERAGEIFS(事件表!BA:BA,事件表!$B:$B,"&gt;="&amp;DATE(YEAR(D58),MONTH(D58),1),事件表!$B:$B,"&lt;="&amp;DATE(YEAR(D58),MONTH(D58),DAY(EOMONTH(D58,0))))</f>
        <v>#DIV/0!</v>
      </c>
      <c r="E59" s="49" t="e">
        <f>AVERAGEIFS(事件表!BA:BA,事件表!$B:$B,"&gt;="&amp;DATE(YEAR(E58),MONTH(E58),1),事件表!$B:$B,"&lt;="&amp;DATE(YEAR(E58),MONTH(E58),DAY(EOMONTH(E58,0))))</f>
        <v>#DIV/0!</v>
      </c>
      <c r="F59" s="49" t="e">
        <f>AVERAGEIFS(事件表!BA:BA,事件表!$B:$B,"&gt;="&amp;DATE(YEAR(F58),MONTH(F58),1),事件表!$B:$B,"&lt;="&amp;DATE(YEAR(F58),MONTH(F58),DAY(EOMONTH(F58,0))))</f>
        <v>#DIV/0!</v>
      </c>
      <c r="G59" s="49" t="e">
        <f>AVERAGEIFS(事件表!BA:BA,事件表!$B:$B,"&gt;="&amp;DATE(YEAR(G58),MONTH(G58),1),事件表!$B:$B,"&lt;="&amp;DATE(YEAR(G58),MONTH(G58),DAY(EOMONTH(G58,0))))</f>
        <v>#DIV/0!</v>
      </c>
      <c r="H59" s="49" t="e">
        <f>AVERAGEIFS(事件表!BA:BA,事件表!$B:$B,"&gt;="&amp;DATE(YEAR(H58),MONTH(H58),1),事件表!$B:$B,"&lt;="&amp;DATE(YEAR(H58),MONTH(H58),DAY(EOMONTH(H58,0))))</f>
        <v>#DIV/0!</v>
      </c>
      <c r="I59" s="49" t="e">
        <f>AVERAGEIFS(事件表!BA:BA,事件表!$B:$B,"&gt;="&amp;DATE(YEAR(I58),MONTH(I58),1),事件表!$B:$B,"&lt;="&amp;DATE(YEAR(I58),MONTH(I58),DAY(EOMONTH(I58,0))))</f>
        <v>#DIV/0!</v>
      </c>
      <c r="J59" s="49" t="e">
        <f>AVERAGEIFS(事件表!BA:BA,事件表!$B:$B,"&gt;="&amp;DATE(YEAR(J58),MONTH(J58),1),事件表!$B:$B,"&lt;="&amp;DATE(YEAR(J58),MONTH(J58),DAY(EOMONTH(J58,0))))</f>
        <v>#DIV/0!</v>
      </c>
      <c r="K59" s="49" t="e">
        <f>AVERAGEIFS(事件表!BA:BA,事件表!$B:$B,"&gt;="&amp;DATE(YEAR(K58),MONTH(K58),1),事件表!$B:$B,"&lt;="&amp;DATE(YEAR(K58),MONTH(K58),DAY(EOMONTH(K58,0))))</f>
        <v>#DIV/0!</v>
      </c>
      <c r="L59" s="49" t="e">
        <f>AVERAGEIFS(事件表!BA:BA,事件表!$B:$B,"&gt;="&amp;DATE(YEAR(L58),MONTH(L58),1),事件表!$B:$B,"&lt;="&amp;DATE(YEAR(L58),MONTH(L58),DAY(EOMONTH(L58,0))))</f>
        <v>#DIV/0!</v>
      </c>
      <c r="M59" s="49" t="e">
        <f>AVERAGEIFS(事件表!BB:BB,事件表!$B:$B,"&gt;="&amp;DATE(YEAR(M58),MONTH(M58),1),事件表!$B:$B,"&lt;="&amp;DATE(YEAR(M58),MONTH(M58),DAY(EOMONTH(M58,0))))</f>
        <v>#DIV/0!</v>
      </c>
      <c r="N59" s="49" t="e">
        <f>AVERAGEIFS(事件表!BC:BC,事件表!$B:$B,"&gt;="&amp;DATE(YEAR(N58),MONTH(N58),1),事件表!$B:$B,"&lt;="&amp;DATE(YEAR(N58),MONTH(N58),DAY(EOMONTH(N58,0))))</f>
        <v>#DIV/0!</v>
      </c>
    </row>
    <row r="60" spans="2:14">
      <c r="B60" s="46"/>
    </row>
    <row r="61" ht="30" customHeight="1" spans="2:14">
      <c r="B61" s="24" t="s">
        <v>68</v>
      </c>
      <c r="C61" s="13" t="s">
        <v>69</v>
      </c>
      <c r="D61" s="57">
        <v>65545</v>
      </c>
      <c r="E61" s="47"/>
      <c r="F61" s="58" t="s">
        <v>70</v>
      </c>
      <c r="G61" s="59" t="s">
        <v>71</v>
      </c>
      <c r="H61" s="60"/>
      <c r="I61" s="58" t="s">
        <v>72</v>
      </c>
      <c r="J61" s="59" t="s">
        <v>71</v>
      </c>
      <c r="K61" s="60"/>
      <c r="L61" s="58" t="s">
        <v>73</v>
      </c>
      <c r="M61" s="61" t="s">
        <v>74</v>
      </c>
      <c r="N61" s="48"/>
    </row>
    <row r="62" ht="27" customHeight="1" spans="2:14">
      <c r="B62" s="24" t="s">
        <v>75</v>
      </c>
      <c r="C62" s="13" t="s">
        <v>76</v>
      </c>
      <c r="D62" s="24" t="e">
        <f>COUNTIFS(告警表!#REF!,"*威胁*")</f>
        <v>#REF!</v>
      </c>
      <c r="F62" s="62" t="s">
        <v>77</v>
      </c>
      <c r="G62" s="63">
        <v>2064</v>
      </c>
      <c r="H62" s="64"/>
      <c r="I62" s="62" t="s">
        <v>78</v>
      </c>
      <c r="J62" s="63">
        <v>1254</v>
      </c>
      <c r="K62" s="64"/>
      <c r="L62" s="65" t="s">
        <v>79</v>
      </c>
      <c r="M62" s="66">
        <v>2684</v>
      </c>
      <c r="N62" s="34"/>
    </row>
    <row r="63" ht="27" customHeight="1" spans="2:14">
      <c r="B63" s="24"/>
      <c r="C63" s="13" t="s">
        <v>80</v>
      </c>
      <c r="D63" s="24">
        <f>COUNTIFS(事件表!A:A,"重大威胁",事件表!B:B,"&gt;="&amp;L1,事件表!B:B,"&lt;="&amp;M1)+COUNTIFS(事件表!A:A,"一般威胁",事件表!B:B,"&gt;="&amp;L1,事件表!B:B,"&lt;="&amp;M1)</f>
        <v>0</v>
      </c>
      <c r="F63" s="62" t="s">
        <v>81</v>
      </c>
      <c r="G63" s="63">
        <v>726</v>
      </c>
      <c r="H63" s="64"/>
      <c r="I63" s="62" t="s">
        <v>82</v>
      </c>
      <c r="J63" s="63">
        <v>1242</v>
      </c>
      <c r="K63" s="64"/>
      <c r="L63" s="65" t="s">
        <v>83</v>
      </c>
      <c r="M63" s="66">
        <v>2337</v>
      </c>
      <c r="N63" s="34"/>
    </row>
    <row r="64" ht="27" customHeight="1" spans="2:14">
      <c r="B64" s="24"/>
      <c r="C64" s="13" t="s">
        <v>84</v>
      </c>
      <c r="D64" s="24" t="e">
        <f>AVERAGEIFS(事件表!BA:BA,事件表!BA:BA,"&lt;&gt;",事件表!AW:AW,"已通告",事件表!A:A,"*威胁*")</f>
        <v>#DIV/0!</v>
      </c>
      <c r="F64" s="62" t="s">
        <v>85</v>
      </c>
      <c r="G64" s="63">
        <v>582</v>
      </c>
      <c r="H64" s="64"/>
      <c r="I64" s="62" t="s">
        <v>86</v>
      </c>
      <c r="J64" s="63">
        <v>735</v>
      </c>
      <c r="K64" s="64"/>
      <c r="L64" s="65" t="s">
        <v>87</v>
      </c>
      <c r="M64" s="66">
        <v>204</v>
      </c>
      <c r="N64" s="34"/>
    </row>
    <row r="65" ht="27" customHeight="1" spans="2:14">
      <c r="B65" s="24" t="s">
        <v>88</v>
      </c>
      <c r="C65" s="13" t="s">
        <v>89</v>
      </c>
      <c r="D65" s="17">
        <v>2</v>
      </c>
      <c r="F65" s="62" t="s">
        <v>90</v>
      </c>
      <c r="G65" s="63">
        <v>327</v>
      </c>
      <c r="H65" s="64"/>
      <c r="I65" s="58" t="s">
        <v>91</v>
      </c>
      <c r="J65" s="59">
        <v>423</v>
      </c>
      <c r="K65" s="64"/>
      <c r="L65" s="65" t="s">
        <v>92</v>
      </c>
      <c r="M65" s="66">
        <v>9</v>
      </c>
      <c r="N65" s="34"/>
    </row>
    <row r="66" ht="27" customHeight="1" spans="2:14">
      <c r="B66" s="24"/>
      <c r="C66" s="13" t="s">
        <v>93</v>
      </c>
      <c r="D66" s="17">
        <v>0</v>
      </c>
      <c r="F66" s="62" t="s">
        <v>94</v>
      </c>
      <c r="G66" s="63">
        <v>259</v>
      </c>
      <c r="H66" s="64"/>
      <c r="I66" s="62" t="s">
        <v>95</v>
      </c>
      <c r="J66" s="63">
        <v>341</v>
      </c>
      <c r="K66" s="64"/>
      <c r="L66" s="65" t="s">
        <v>96</v>
      </c>
      <c r="M66" s="66">
        <v>7</v>
      </c>
      <c r="N66" s="34"/>
    </row>
    <row r="67" ht="27" customHeight="1" spans="2:14">
      <c r="B67" s="24" t="s">
        <v>97</v>
      </c>
      <c r="C67" s="13" t="s">
        <v>98</v>
      </c>
      <c r="D67" s="24">
        <f>COUNTIFS(事件表!A:A,"最新威胁",事件表!B:B,"&gt;="&amp;L1,事件表!B:B,"&lt;="&amp;M1)</f>
        <v>0</v>
      </c>
      <c r="N67" s="34"/>
    </row>
    <row r="68" ht="27" customHeight="1" spans="2:14">
      <c r="B68" s="24"/>
      <c r="C68" s="13" t="s">
        <v>99</v>
      </c>
      <c r="D68" s="17">
        <v>15</v>
      </c>
      <c r="N68" s="34"/>
    </row>
    <row r="69" spans="2:14">
      <c r="B69" s="22"/>
      <c r="N69" s="34"/>
    </row>
    <row r="70" spans="2:14">
      <c r="B70" s="67" t="s">
        <v>100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9"/>
    </row>
    <row r="71" spans="2:14">
      <c r="B71" s="24"/>
      <c r="C71" s="24" t="str">
        <f>TEXT(L1,"YYYY-MM")</f>
        <v>2025-08</v>
      </c>
      <c r="D71" s="12" t="str">
        <f t="shared" ref="D71:N71" si="1">TEXT(DATE(YEAR(C71),MONTH(C71)+1,DAY(C71)),"YYYY-MM")</f>
        <v>2025-09</v>
      </c>
      <c r="E71" s="12" t="str">
        <f t="shared" si="1"/>
        <v>2025-10</v>
      </c>
      <c r="F71" s="12" t="str">
        <f t="shared" si="1"/>
        <v>2025-11</v>
      </c>
      <c r="G71" s="12" t="str">
        <f t="shared" si="1"/>
        <v>2025-12</v>
      </c>
      <c r="H71" s="12" t="str">
        <f t="shared" si="1"/>
        <v>2026-01</v>
      </c>
      <c r="I71" s="12" t="str">
        <f t="shared" si="1"/>
        <v>2026-02</v>
      </c>
      <c r="J71" s="12" t="str">
        <f t="shared" si="1"/>
        <v>2026-03</v>
      </c>
      <c r="K71" s="12" t="str">
        <f t="shared" si="1"/>
        <v>2026-04</v>
      </c>
      <c r="L71" s="12" t="str">
        <f t="shared" si="1"/>
        <v>2026-05</v>
      </c>
      <c r="M71" s="12" t="str">
        <f t="shared" si="1"/>
        <v>2026-06</v>
      </c>
      <c r="N71" s="12" t="str">
        <f t="shared" si="1"/>
        <v>2026-07</v>
      </c>
    </row>
    <row r="72" spans="2:14">
      <c r="B72" s="19" t="s">
        <v>101</v>
      </c>
      <c r="C72" s="57">
        <v>6729</v>
      </c>
      <c r="D72" s="57">
        <v>5323</v>
      </c>
      <c r="E72" s="57">
        <v>5940</v>
      </c>
      <c r="F72" s="57">
        <v>34095</v>
      </c>
      <c r="G72" s="57">
        <v>6990</v>
      </c>
      <c r="H72" s="57">
        <v>8813</v>
      </c>
      <c r="I72" s="57">
        <v>4270</v>
      </c>
      <c r="J72" s="57">
        <v>4506</v>
      </c>
      <c r="K72" s="57"/>
      <c r="L72" s="57"/>
      <c r="M72" s="57"/>
      <c r="N72" s="57"/>
    </row>
    <row r="73" spans="2:14">
      <c r="B73" s="19" t="s">
        <v>102</v>
      </c>
      <c r="C73" s="57">
        <v>145428</v>
      </c>
      <c r="D73" s="57">
        <v>134496</v>
      </c>
      <c r="E73" s="57">
        <v>165515</v>
      </c>
      <c r="F73" s="57">
        <v>292379</v>
      </c>
      <c r="G73" s="57">
        <v>220881</v>
      </c>
      <c r="H73" s="57">
        <v>176312</v>
      </c>
      <c r="I73" s="57">
        <v>214511</v>
      </c>
      <c r="J73" s="57">
        <v>82013</v>
      </c>
      <c r="K73" s="57"/>
      <c r="L73" s="57"/>
      <c r="M73" s="57"/>
      <c r="N73" s="57"/>
    </row>
    <row r="74" spans="2:14">
      <c r="B74" s="19" t="s">
        <v>103</v>
      </c>
      <c r="C74" s="57">
        <v>303457</v>
      </c>
      <c r="D74" s="57">
        <v>222567</v>
      </c>
      <c r="E74" s="57">
        <v>241853</v>
      </c>
      <c r="F74" s="57">
        <v>195076</v>
      </c>
      <c r="G74" s="57">
        <v>104462</v>
      </c>
      <c r="H74" s="57">
        <v>325269</v>
      </c>
      <c r="I74" s="57">
        <v>228846</v>
      </c>
      <c r="J74" s="57">
        <v>226718</v>
      </c>
      <c r="K74" s="57">
        <v>287975</v>
      </c>
      <c r="L74" s="57">
        <v>165318</v>
      </c>
      <c r="M74" s="57">
        <v>101338</v>
      </c>
      <c r="N74" s="57">
        <v>235646</v>
      </c>
    </row>
    <row r="75" spans="2:14">
      <c r="B75" s="19" t="s">
        <v>104</v>
      </c>
      <c r="C75" s="24" t="e">
        <f>COUNTIFS(告警表!#REF!,"&gt;="&amp;DATE(YEAR(C71),MONTH(C71),1),告警表!#REF!,"&lt;="&amp;DATE(YEAR(C71),MONTH(C71),DAY(EOMONTH(C71,0))))</f>
        <v>#REF!</v>
      </c>
      <c r="D75" s="24" t="e">
        <f>COUNTIFS(告警表!#REF!,"&gt;="&amp;DATE(YEAR(D71),MONTH(D71),1),告警表!#REF!,"&lt;="&amp;DATE(YEAR(D71),MONTH(D71),DAY(EOMONTH(D71,0))))</f>
        <v>#REF!</v>
      </c>
      <c r="E75" s="24" t="e">
        <f>COUNTIFS(告警表!#REF!,"&gt;="&amp;DATE(YEAR(E71),MONTH(E71),1),告警表!#REF!,"&lt;="&amp;DATE(YEAR(E71),MONTH(E71),DAY(EOMONTH(E71,0))))</f>
        <v>#REF!</v>
      </c>
      <c r="F75" s="24" t="e">
        <f>COUNTIFS(告警表!#REF!,"&gt;="&amp;DATE(YEAR(F71),MONTH(F71),1),告警表!#REF!,"&lt;="&amp;DATE(YEAR(F71),MONTH(F71),DAY(EOMONTH(F71,0))))</f>
        <v>#REF!</v>
      </c>
      <c r="G75" s="24" t="e">
        <f>COUNTIFS(告警表!#REF!,"&gt;="&amp;DATE(YEAR(G71),MONTH(G71),1),告警表!#REF!,"&lt;="&amp;DATE(YEAR(G71),MONTH(G71),DAY(EOMONTH(G71,0))))</f>
        <v>#REF!</v>
      </c>
      <c r="H75" s="24" t="e">
        <f>COUNTIFS(告警表!#REF!,"&gt;="&amp;DATE(YEAR(H71),MONTH(H71),1),告警表!#REF!,"&lt;="&amp;DATE(YEAR(H71),MONTH(H71),DAY(EOMONTH(H71,0))))</f>
        <v>#REF!</v>
      </c>
      <c r="I75" s="24" t="e">
        <f>COUNTIFS(告警表!#REF!,"&gt;="&amp;DATE(YEAR(I71),MONTH(I71),1),告警表!#REF!,"&lt;="&amp;DATE(YEAR(I71),MONTH(I71),DAY(EOMONTH(I71,0))))</f>
        <v>#REF!</v>
      </c>
      <c r="J75" s="24" t="e">
        <f>COUNTIFS(告警表!#REF!,"&gt;="&amp;DATE(YEAR(J71),MONTH(J71),1),告警表!#REF!,"&lt;="&amp;DATE(YEAR(J71),MONTH(J71),DAY(EOMONTH(J71,0))))</f>
        <v>#REF!</v>
      </c>
      <c r="K75" s="24" t="e">
        <f>COUNTIFS(告警表!#REF!,"&gt;="&amp;DATE(YEAR(K71),MONTH(K71),1),告警表!#REF!,"&lt;="&amp;DATE(YEAR(K71),MONTH(K71),DAY(EOMONTH(K71,0))))</f>
        <v>#REF!</v>
      </c>
      <c r="L75" s="24" t="e">
        <f>COUNTIFS(告警表!#REF!,"&gt;="&amp;DATE(YEAR(L71),MONTH(L71),1),告警表!#REF!,"&lt;="&amp;DATE(YEAR(L71),MONTH(L71),DAY(EOMONTH(L71,0))))</f>
        <v>#REF!</v>
      </c>
      <c r="M75" s="24" t="e">
        <f>COUNTIFS(告警表!#REF!,"&gt;="&amp;DATE(YEAR(M71),MONTH(M71),1),告警表!#REF!,"&lt;="&amp;DATE(YEAR(M71),MONTH(M71),DAY(EOMONTH(M71,0))))</f>
        <v>#REF!</v>
      </c>
      <c r="N75" s="24" t="e">
        <f>COUNTIFS(告警表!#REF!,"&gt;="&amp;DATE(YEAR(N71),MONTH(N71),1),告警表!#REF!,"&lt;="&amp;DATE(YEAR(N71),MONTH(N71),DAY(EOMONTH(N71,0))))</f>
        <v>#REF!</v>
      </c>
    </row>
    <row r="76" spans="2:14">
      <c r="B76" s="19" t="s">
        <v>105</v>
      </c>
      <c r="C76" s="24">
        <f>COUNTIFS(事件表!A:A,"*事件*",事件表!$B:$B,"&gt;="&amp;DATE(YEAR(C71),MONTH(C71),1),事件表!$B:$B,"&lt;="&amp;DATE(YEAR(C71),MONTH(C71),DAY(EOMONTH(C71,0))))</f>
        <v>0</v>
      </c>
      <c r="D76" s="24">
        <f>COUNTIFS(事件表!A:A,"*事件*",事件表!$B:$B,"&gt;="&amp;DATE(YEAR(D71),MONTH(D71),1),事件表!$B:$B,"&lt;="&amp;DATE(YEAR(D71),MONTH(D71),DAY(EOMONTH(D71,0))))</f>
        <v>0</v>
      </c>
      <c r="E76" s="24">
        <f>COUNTIFS(事件表!A:A,"*事件*",事件表!$B:$B,"&gt;="&amp;DATE(YEAR(E71),MONTH(E71),1),事件表!$B:$B,"&lt;="&amp;DATE(YEAR(E71),MONTH(E71),DAY(EOMONTH(E71,0))))</f>
        <v>0</v>
      </c>
      <c r="F76" s="24">
        <f>COUNTIFS(事件表!A:A,"*事件*",事件表!$B:$B,"&gt;="&amp;DATE(YEAR(F71),MONTH(F71),1),事件表!$B:$B,"&lt;="&amp;DATE(YEAR(F71),MONTH(F71),DAY(EOMONTH(F71,0))))</f>
        <v>0</v>
      </c>
      <c r="G76" s="24">
        <f>COUNTIFS(事件表!A:A,"*事件*",事件表!$B:$B,"&gt;="&amp;DATE(YEAR(G71),MONTH(G71),1),事件表!$B:$B,"&lt;="&amp;DATE(YEAR(G71),MONTH(G71),DAY(EOMONTH(G71,0))))</f>
        <v>0</v>
      </c>
      <c r="H76" s="24">
        <f>COUNTIFS(事件表!A:A,"*事件*",事件表!$B:$B,"&gt;="&amp;DATE(YEAR(H71),MONTH(H71),1),事件表!$B:$B,"&lt;="&amp;DATE(YEAR(H71),MONTH(H71),DAY(EOMONTH(H71,0))))</f>
        <v>0</v>
      </c>
      <c r="I76" s="24">
        <f>COUNTIFS(事件表!A:A,"*事件*",事件表!$B:$B,"&gt;="&amp;DATE(YEAR(I71),MONTH(I71),1),事件表!$B:$B,"&lt;="&amp;DATE(YEAR(I71),MONTH(I71),DAY(EOMONTH(I71,0))))</f>
        <v>0</v>
      </c>
      <c r="J76" s="24">
        <f>COUNTIFS(事件表!A:A,"*事件*",事件表!$B:$B,"&gt;="&amp;DATE(YEAR(J71),MONTH(J71),1),事件表!$B:$B,"&lt;="&amp;DATE(YEAR(J71),MONTH(J71),DAY(EOMONTH(J71,0))))</f>
        <v>0</v>
      </c>
      <c r="K76" s="24">
        <f>COUNTIFS(事件表!A:A,"*事件*",事件表!$B:$B,"&gt;="&amp;DATE(YEAR(K71),MONTH(K71),1),事件表!$B:$B,"&lt;="&amp;DATE(YEAR(K71),MONTH(K71),DAY(EOMONTH(K71,0))))</f>
        <v>0</v>
      </c>
      <c r="L76" s="24">
        <f>COUNTIFS(事件表!A:A,"*事件*",事件表!$B:$B,"&gt;="&amp;DATE(YEAR(L71),MONTH(L71),1),事件表!$B:$B,"&lt;="&amp;DATE(YEAR(L71),MONTH(L71),DAY(EOMONTH(L71,0))))</f>
        <v>0</v>
      </c>
      <c r="M76" s="24">
        <f>COUNTIFS(事件表!A:A,"*事件*",事件表!$B:$B,"&gt;="&amp;DATE(YEAR(M71),MONTH(M71),1),事件表!$B:$B,"&lt;="&amp;DATE(YEAR(M71),MONTH(M71),DAY(EOMONTH(M71,0))))</f>
        <v>0</v>
      </c>
      <c r="N76" s="24">
        <f>COUNTIFS(事件表!A:A,"*事件*",事件表!$B:$B,"&gt;="&amp;DATE(YEAR(N71),MONTH(N71),1),事件表!$B:$B,"&lt;="&amp;DATE(YEAR(N71),MONTH(N71),DAY(EOMONTH(N71,0))))</f>
        <v>0</v>
      </c>
    </row>
    <row r="77" spans="2:14">
      <c r="B77" s="19" t="s">
        <v>106</v>
      </c>
      <c r="C77" s="17">
        <v>40</v>
      </c>
      <c r="D77" s="17">
        <v>70</v>
      </c>
      <c r="E77" s="17">
        <v>35</v>
      </c>
      <c r="F77" s="17">
        <v>10</v>
      </c>
      <c r="G77" s="17">
        <v>2</v>
      </c>
      <c r="H77" s="17">
        <v>1</v>
      </c>
      <c r="I77" s="17">
        <v>0</v>
      </c>
      <c r="J77" s="17">
        <v>1</v>
      </c>
      <c r="K77" s="17"/>
      <c r="L77" s="17"/>
      <c r="M77" s="17"/>
      <c r="N77" s="17"/>
    </row>
    <row r="78" spans="2:14">
      <c r="C78" s="70"/>
    </row>
    <row r="79" ht="28.8" spans="2:14">
      <c r="B79" s="24" t="s">
        <v>107</v>
      </c>
      <c r="C79" s="24" t="s">
        <v>108</v>
      </c>
      <c r="D79" s="11" t="s">
        <v>109</v>
      </c>
      <c r="E79" s="24" t="s">
        <v>110</v>
      </c>
      <c r="F79" s="24" t="s">
        <v>111</v>
      </c>
      <c r="G79" s="47"/>
      <c r="H79" s="47"/>
      <c r="I79" s="47"/>
      <c r="J79" s="47"/>
      <c r="K79" s="47"/>
      <c r="L79" s="47"/>
      <c r="M79" s="47"/>
      <c r="N79" s="48"/>
    </row>
    <row r="80" spans="2:14">
      <c r="B80" s="24"/>
      <c r="C80" s="24">
        <f>COUNTIFS(资产漏洞表!E:E,"高危",资产漏洞表!F:F,"是",资产漏洞表!T:T,"&gt;="&amp;L1,资产漏洞表!T:T,"&lt;="&amp;M1)</f>
        <v>0</v>
      </c>
      <c r="D80" s="24">
        <v>2</v>
      </c>
      <c r="E80" s="17">
        <v>62</v>
      </c>
      <c r="F80" s="50" t="e">
        <f>COUNTIFS(资产漏洞表!E:E,"高危",资产漏洞表!F:F,"是",资产漏洞表!P:P,"*已*")/COUNTIFS(资产漏洞表!E:E,"高危",资产漏洞表!F:F,"是")</f>
        <v>#DIV/0!</v>
      </c>
      <c r="N80" s="34"/>
    </row>
    <row r="81" spans="2:14">
      <c r="B81" s="71"/>
      <c r="C81" s="33"/>
      <c r="D81" s="33"/>
      <c r="E81" s="33"/>
      <c r="F81" s="33"/>
      <c r="N81" s="34"/>
    </row>
    <row r="82" spans="2:14">
      <c r="B82" s="24" t="s">
        <v>112</v>
      </c>
      <c r="C82" s="72"/>
      <c r="D82" s="24" t="s">
        <v>113</v>
      </c>
      <c r="E82" s="24" t="s">
        <v>114</v>
      </c>
      <c r="F82" s="24" t="s">
        <v>115</v>
      </c>
      <c r="N82" s="34"/>
    </row>
    <row r="83" spans="2:14">
      <c r="B83" s="24"/>
      <c r="C83" s="13" t="s">
        <v>116</v>
      </c>
      <c r="D83" s="24">
        <f>COUNTIFS(资产漏洞表!E:E,"高危")</f>
        <v>0</v>
      </c>
      <c r="E83" s="24">
        <f>COUNTIFS(资产漏洞表!E:E,"中危",资产漏洞表!P:P,"*已*")</f>
        <v>0</v>
      </c>
      <c r="F83" s="50" t="e">
        <f>E83/D83</f>
        <v>#DIV/0!</v>
      </c>
      <c r="N83" s="34"/>
    </row>
    <row r="84" spans="2:14">
      <c r="B84" s="24"/>
      <c r="C84" s="13" t="s">
        <v>117</v>
      </c>
      <c r="D84" s="24">
        <f>COUNTIFS(资产漏洞表!E:E,"中危")</f>
        <v>0</v>
      </c>
      <c r="E84" s="24">
        <f>COUNTIFS(资产漏洞表!E:E,"中危",资产漏洞表!P:P,"*已*")</f>
        <v>0</v>
      </c>
      <c r="F84" s="50" t="e">
        <f>E84/D84</f>
        <v>#DIV/0!</v>
      </c>
      <c r="N84" s="34"/>
    </row>
    <row r="85" spans="2:14">
      <c r="B85" s="24"/>
      <c r="C85" s="13" t="s">
        <v>118</v>
      </c>
      <c r="D85" s="24">
        <f>COUNTIFS(资产漏洞表!E:E,"低危")</f>
        <v>0</v>
      </c>
      <c r="E85" s="24">
        <f>COUNTIFS(资产漏洞表!E:E,"高危",资产漏洞表!P:P,"*已*")</f>
        <v>0</v>
      </c>
      <c r="F85" s="50" t="e">
        <f>E85/D85</f>
        <v>#DIV/0!</v>
      </c>
      <c r="N85" s="34"/>
    </row>
    <row r="86" spans="2:14">
      <c r="B86" s="24" t="s">
        <v>119</v>
      </c>
      <c r="C86" s="24" t="str">
        <f>TEXT(L1,"YYYY-MM")</f>
        <v>2025-08</v>
      </c>
      <c r="D86" s="12" t="str">
        <f t="shared" ref="D86:N86" si="2">TEXT(DATE(YEAR(C86),MONTH(C86)+1,DAY(C86)),"YYYY-MM")</f>
        <v>2025-09</v>
      </c>
      <c r="E86" s="12" t="str">
        <f t="shared" si="2"/>
        <v>2025-10</v>
      </c>
      <c r="F86" s="12" t="str">
        <f t="shared" si="2"/>
        <v>2025-11</v>
      </c>
      <c r="G86" s="12" t="str">
        <f t="shared" si="2"/>
        <v>2025-12</v>
      </c>
      <c r="H86" s="12" t="str">
        <f t="shared" si="2"/>
        <v>2026-01</v>
      </c>
      <c r="I86" s="12" t="str">
        <f t="shared" si="2"/>
        <v>2026-02</v>
      </c>
      <c r="J86" s="12" t="str">
        <f t="shared" si="2"/>
        <v>2026-03</v>
      </c>
      <c r="K86" s="12" t="str">
        <f t="shared" si="2"/>
        <v>2026-04</v>
      </c>
      <c r="L86" s="12" t="str">
        <f t="shared" si="2"/>
        <v>2026-05</v>
      </c>
      <c r="M86" s="12" t="str">
        <f t="shared" si="2"/>
        <v>2026-06</v>
      </c>
      <c r="N86" s="12" t="str">
        <f t="shared" si="2"/>
        <v>2026-07</v>
      </c>
    </row>
    <row r="87" spans="2:14">
      <c r="B87" s="24" t="s">
        <v>120</v>
      </c>
      <c r="C87" s="24">
        <f>COUNTIFS(资产漏洞表!$T:$T,"&gt;="&amp;DATE(YEAR(C86),MONTH(C86),1),资产漏洞表!$T:$T,"&lt;="&amp;DATE(YEAR(C86),MONTH(C86),DAY(EOMONTH(C86,0))))</f>
        <v>0</v>
      </c>
      <c r="D87" s="24">
        <f>COUNTIFS(资产漏洞表!$T:$T,"&gt;="&amp;DATE(YEAR(D86),MONTH(D86),1),资产漏洞表!$T:$T,"&lt;="&amp;DATE(YEAR(D86),MONTH(D86),DAY(EOMONTH(D86,0))))</f>
        <v>0</v>
      </c>
      <c r="E87" s="24">
        <f>COUNTIFS(资产漏洞表!$T:$T,"&gt;="&amp;DATE(YEAR(E86),MONTH(E86),1),资产漏洞表!$T:$T,"&lt;="&amp;DATE(YEAR(E86),MONTH(E86),DAY(EOMONTH(E86,0))))</f>
        <v>0</v>
      </c>
      <c r="F87" s="24">
        <f>COUNTIFS(资产漏洞表!$T:$T,"&gt;="&amp;DATE(YEAR(F86),MONTH(F86),1),资产漏洞表!$T:$T,"&lt;="&amp;DATE(YEAR(F86),MONTH(F86),DAY(EOMONTH(F86,0))))</f>
        <v>0</v>
      </c>
      <c r="G87" s="24">
        <f>COUNTIFS(资产漏洞表!$T:$T,"&gt;="&amp;DATE(YEAR(G86),MONTH(G86),1),资产漏洞表!$T:$T,"&lt;="&amp;DATE(YEAR(G86),MONTH(G86),DAY(EOMONTH(G86,0))))</f>
        <v>0</v>
      </c>
      <c r="H87" s="24">
        <f>COUNTIFS(资产漏洞表!$T:$T,"&gt;="&amp;DATE(YEAR(H86),MONTH(H86),1),资产漏洞表!$T:$T,"&lt;="&amp;DATE(YEAR(H86),MONTH(H86),DAY(EOMONTH(H86,0))))</f>
        <v>0</v>
      </c>
      <c r="I87" s="24">
        <f>COUNTIFS(资产漏洞表!$T:$T,"&gt;="&amp;DATE(YEAR(I86),MONTH(I86),1),资产漏洞表!$T:$T,"&lt;="&amp;DATE(YEAR(I86),MONTH(I86),DAY(EOMONTH(I86,0))))</f>
        <v>0</v>
      </c>
      <c r="J87" s="24">
        <f>COUNTIFS(资产漏洞表!$T:$T,"&gt;="&amp;DATE(YEAR(J86),MONTH(J86),1),资产漏洞表!$T:$T,"&lt;="&amp;DATE(YEAR(J86),MONTH(J86),DAY(EOMONTH(J86,0))))</f>
        <v>0</v>
      </c>
      <c r="K87" s="24">
        <f>COUNTIFS(资产漏洞表!$T:$T,"&gt;="&amp;DATE(YEAR(K86),MONTH(K86),1),资产漏洞表!$T:$T,"&lt;="&amp;DATE(YEAR(K86),MONTH(K86),DAY(EOMONTH(K86,0))))</f>
        <v>0</v>
      </c>
      <c r="L87" s="24">
        <f>COUNTIFS(资产漏洞表!$T:$T,"&gt;="&amp;DATE(YEAR(L86),MONTH(L86),1),资产漏洞表!$T:$T,"&lt;="&amp;DATE(YEAR(L86),MONTH(L86),DAY(EOMONTH(L86,0))))</f>
        <v>0</v>
      </c>
      <c r="M87" s="24">
        <f>COUNTIFS(资产漏洞表!$T:$T,"&gt;="&amp;DATE(YEAR(M86),MONTH(M86),1),资产漏洞表!$T:$T,"&lt;="&amp;DATE(YEAR(M86),MONTH(M86),DAY(EOMONTH(M86,0))))</f>
        <v>0</v>
      </c>
      <c r="N87" s="24">
        <f>COUNTIFS(资产漏洞表!$T:$T,"&gt;="&amp;DATE(YEAR(N86),MONTH(N86),1),资产漏洞表!$T:$T,"&lt;="&amp;DATE(YEAR(N86),MONTH(N86),DAY(EOMONTH(N86,0))))</f>
        <v>0</v>
      </c>
    </row>
    <row r="88" spans="2:14">
      <c r="B88" s="24" t="s">
        <v>121</v>
      </c>
      <c r="C88" s="24">
        <f>COUNTIFS(资产漏洞表!P:P,"*已*",资产漏洞表!$T:$T,"&gt;="&amp;DATE(YEAR(C86),MONTH(C86),1),资产漏洞表!$T:$T,"&lt;="&amp;DATE(YEAR(C86),MONTH(C86),DAY(EOMONTH(C86,0))))</f>
        <v>0</v>
      </c>
      <c r="D88" s="24">
        <f>COUNTIFS(资产漏洞表!Q:Q,"*已*",资产漏洞表!$T:$T,"&gt;="&amp;DATE(YEAR(D86),MONTH(D86),1),资产漏洞表!$T:$T,"&lt;="&amp;DATE(YEAR(D86),MONTH(D86),DAY(EOMONTH(D86,0))))</f>
        <v>0</v>
      </c>
      <c r="E88" s="24">
        <f>COUNTIFS(资产漏洞表!R:R,"*已*",资产漏洞表!$T:$T,"&gt;="&amp;DATE(YEAR(E86),MONTH(E86),1),资产漏洞表!$T:$T,"&lt;="&amp;DATE(YEAR(E86),MONTH(E86),DAY(EOMONTH(E86,0))))</f>
        <v>0</v>
      </c>
      <c r="F88" s="24">
        <f>COUNTIFS(资产漏洞表!S:S,"*已*",资产漏洞表!$T:$T,"&gt;="&amp;DATE(YEAR(F86),MONTH(F86),1),资产漏洞表!$T:$T,"&lt;="&amp;DATE(YEAR(F86),MONTH(F86),DAY(EOMONTH(F86,0))))</f>
        <v>0</v>
      </c>
      <c r="G88" s="24">
        <f>COUNTIFS(资产漏洞表!T:T,"*已*",资产漏洞表!$T:$T,"&gt;="&amp;DATE(YEAR(G86),MONTH(G86),1),资产漏洞表!$T:$T,"&lt;="&amp;DATE(YEAR(G86),MONTH(G86),DAY(EOMONTH(G86,0))))</f>
        <v>0</v>
      </c>
      <c r="H88" s="24">
        <f>COUNTIFS(资产漏洞表!U:U,"*已*",资产漏洞表!$T:$T,"&gt;="&amp;DATE(YEAR(H86),MONTH(H86),1),资产漏洞表!$T:$T,"&lt;="&amp;DATE(YEAR(H86),MONTH(H86),DAY(EOMONTH(H86,0))))</f>
        <v>0</v>
      </c>
      <c r="I88" s="24">
        <f>COUNTIFS(资产漏洞表!V:V,"*已*",资产漏洞表!$T:$T,"&gt;="&amp;DATE(YEAR(I86),MONTH(I86),1),资产漏洞表!$T:$T,"&lt;="&amp;DATE(YEAR(I86),MONTH(I86),DAY(EOMONTH(I86,0))))</f>
        <v>0</v>
      </c>
      <c r="J88" s="24">
        <f>COUNTIFS(资产漏洞表!W:W,"*已*",资产漏洞表!$T:$T,"&gt;="&amp;DATE(YEAR(J86),MONTH(J86),1),资产漏洞表!$T:$T,"&lt;="&amp;DATE(YEAR(J86),MONTH(J86),DAY(EOMONTH(J86,0))))</f>
        <v>0</v>
      </c>
      <c r="K88" s="24">
        <f>COUNTIFS(资产漏洞表!X:X,"*已*",资产漏洞表!$T:$T,"&gt;="&amp;DATE(YEAR(K86),MONTH(K86),1),资产漏洞表!$T:$T,"&lt;="&amp;DATE(YEAR(K86),MONTH(K86),DAY(EOMONTH(K86,0))))</f>
        <v>0</v>
      </c>
      <c r="L88" s="24">
        <f>COUNTIFS(资产漏洞表!Y:Y,"*已*",资产漏洞表!$T:$T,"&gt;="&amp;DATE(YEAR(L86),MONTH(L86),1),资产漏洞表!$T:$T,"&lt;="&amp;DATE(YEAR(L86),MONTH(L86),DAY(EOMONTH(L86,0))))</f>
        <v>0</v>
      </c>
      <c r="M88" s="24">
        <f>COUNTIFS(资产漏洞表!Z:Z,"*已*",资产漏洞表!$T:$T,"&gt;="&amp;DATE(YEAR(M86),MONTH(M86),1),资产漏洞表!$T:$T,"&lt;="&amp;DATE(YEAR(M86),MONTH(M86),DAY(EOMONTH(M86,0))))</f>
        <v>0</v>
      </c>
      <c r="N88" s="24">
        <f>COUNTIFS(资产漏洞表!AA:AA,"*已*",资产漏洞表!$T:$T,"&gt;="&amp;DATE(YEAR(N86),MONTH(N86),1),资产漏洞表!$T:$T,"&lt;="&amp;DATE(YEAR(N86),MONTH(N86),DAY(EOMONTH(N86,0))))</f>
        <v>0</v>
      </c>
    </row>
    <row r="90" spans="2:14">
      <c r="B90" s="18" t="s">
        <v>122</v>
      </c>
      <c r="C90" s="13" t="s">
        <v>123</v>
      </c>
      <c r="D90" s="17">
        <v>4</v>
      </c>
      <c r="E90" s="26" t="s">
        <v>124</v>
      </c>
      <c r="F90" s="13"/>
      <c r="G90" s="13" t="s">
        <v>125</v>
      </c>
      <c r="H90" s="24" t="s">
        <v>126</v>
      </c>
    </row>
    <row r="91" spans="2:14">
      <c r="B91" s="16" t="s">
        <v>127</v>
      </c>
      <c r="C91" s="13" t="s">
        <v>128</v>
      </c>
      <c r="D91" s="17">
        <v>0</v>
      </c>
      <c r="E91" s="28"/>
      <c r="F91" s="73" t="s">
        <v>129</v>
      </c>
      <c r="G91" s="57">
        <v>9623</v>
      </c>
      <c r="H91" s="74">
        <v>1</v>
      </c>
    </row>
    <row r="92" spans="2:14">
      <c r="B92" s="75"/>
      <c r="C92" s="13" t="s">
        <v>130</v>
      </c>
      <c r="D92" s="74">
        <v>1</v>
      </c>
      <c r="E92" s="28"/>
      <c r="F92" s="73" t="s">
        <v>131</v>
      </c>
      <c r="G92" s="57">
        <v>28655</v>
      </c>
      <c r="H92" s="74">
        <v>1</v>
      </c>
    </row>
    <row r="93" spans="2:14">
      <c r="B93" s="22"/>
      <c r="C93" s="33"/>
      <c r="D93" s="76"/>
      <c r="E93" s="28"/>
      <c r="F93" s="73" t="s">
        <v>132</v>
      </c>
      <c r="G93" s="57">
        <v>3461</v>
      </c>
      <c r="H93" s="74">
        <v>1</v>
      </c>
    </row>
    <row r="94" spans="2:14">
      <c r="B94" s="22"/>
      <c r="C94" s="33"/>
      <c r="D94" s="76"/>
      <c r="E94" s="28"/>
      <c r="F94" s="73" t="s">
        <v>133</v>
      </c>
      <c r="G94" s="57">
        <v>10000</v>
      </c>
      <c r="H94" s="74">
        <v>1</v>
      </c>
    </row>
    <row r="95" spans="2:14">
      <c r="B95" s="22"/>
      <c r="C95" s="33"/>
      <c r="D95" s="76"/>
      <c r="E95" s="28"/>
      <c r="F95" s="73"/>
      <c r="G95" s="17"/>
      <c r="H95" s="74"/>
    </row>
    <row r="96" spans="2:14">
      <c r="B96" s="22"/>
      <c r="C96" s="33"/>
      <c r="D96" s="33"/>
      <c r="E96" s="28"/>
      <c r="F96" s="73"/>
      <c r="G96" s="17"/>
      <c r="H96" s="74"/>
    </row>
    <row r="97" spans="2:8">
      <c r="B97" s="37"/>
      <c r="C97" s="77"/>
      <c r="D97" s="38"/>
      <c r="E97" s="78"/>
      <c r="F97" s="73"/>
      <c r="G97" s="17"/>
      <c r="H97" s="74"/>
    </row>
  </sheetData>
  <mergeCells count="16">
    <mergeCell ref="B1:F1"/>
    <mergeCell ref="F3:G3"/>
    <mergeCell ref="B70:N70"/>
    <mergeCell ref="B3:B6"/>
    <mergeCell ref="B7:B9"/>
    <mergeCell ref="B48:B49"/>
    <mergeCell ref="B51:B55"/>
    <mergeCell ref="B62:B64"/>
    <mergeCell ref="B65:B66"/>
    <mergeCell ref="B67:B68"/>
    <mergeCell ref="B79:B81"/>
    <mergeCell ref="B82:B85"/>
    <mergeCell ref="B91:B92"/>
    <mergeCell ref="C3:C5"/>
    <mergeCell ref="E51:E55"/>
    <mergeCell ref="E90:E97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24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A1:F13"/>
    </sheetView>
  </sheetViews>
  <sheetFormatPr defaultColWidth="8.89814814814815" defaultRowHeight="14.4"/>
  <cols>
    <col min="2" max="2" width="19.5555555555556" customWidth="1"/>
    <col min="3" max="3" width="13" style="7" customWidth="1"/>
  </cols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6" sqref="A1:W9"/>
    </sheetView>
  </sheetViews>
  <sheetFormatPr defaultColWidth="9" defaultRowHeight="30" customHeight="1"/>
  <cols>
    <col min="2" max="2" width="14.8981481481481" customWidth="1"/>
    <col min="4" max="4" width="9.66666666666667" customWidth="1"/>
    <col min="7" max="7" width="12.5" customWidth="1"/>
    <col min="8" max="8" width="17.7777777777778" customWidth="1"/>
    <col min="9" max="9" width="15.8611111111111" customWidth="1"/>
    <col min="10" max="10" width="30.9351851851852" style="5" customWidth="1"/>
    <col min="11" max="11" width="22.5833333333333" style="5" customWidth="1"/>
    <col min="14" max="14" width="32.212962962963" style="5" customWidth="1"/>
    <col min="15" max="15" width="13.7777777777778" customWidth="1"/>
    <col min="16" max="16" width="11.8981481481481" customWidth="1"/>
    <col min="19" max="19" width="16.537037037037" style="6" customWidth="1"/>
    <col min="20" max="20" width="17.5555555555556" style="6" customWidth="1"/>
    <col min="21" max="21" width="20.5" customWidth="1"/>
    <col min="22" max="22" width="26.4444444444444" customWidth="1"/>
  </cols>
  <sheetData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K1" workbookViewId="0">
      <selection activeCell="Q19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workbookViewId="0">
      <selection activeCell="D15" sqref="D15"/>
    </sheetView>
  </sheetViews>
  <sheetFormatPr defaultColWidth="9" defaultRowHeight="14.4"/>
  <cols>
    <col min="1" max="1" width="11.75" customWidth="1"/>
    <col min="2" max="2" width="16.2314814814815" style="1" customWidth="1"/>
    <col min="3" max="3" width="21.6388888888889" customWidth="1"/>
    <col min="4" max="4" width="52.4074074074074" customWidth="1"/>
    <col min="5" max="5" width="18.5833333333333" customWidth="1"/>
    <col min="6" max="6" width="12.6666666666667" customWidth="1"/>
    <col min="7" max="7" width="13.8981481481481" customWidth="1"/>
    <col min="8" max="9" width="9" customWidth="1"/>
    <col min="10" max="10" width="20.2222222222222" customWidth="1"/>
    <col min="11" max="11" width="11.4444444444444" customWidth="1"/>
    <col min="12" max="12" width="9" customWidth="1"/>
    <col min="13" max="13" width="11.1018518518519" customWidth="1"/>
    <col min="14" max="15" width="9" customWidth="1"/>
    <col min="16" max="16" width="26.7592592592593" customWidth="1"/>
    <col min="17" max="24" width="9" customWidth="1"/>
    <col min="25" max="26" width="10.7777777777778" style="2" customWidth="1"/>
    <col min="27" max="27" width="9" customWidth="1"/>
    <col min="28" max="28" width="11.7777777777778" customWidth="1"/>
    <col min="29" max="29" width="16.0740740740741"/>
    <col min="30" max="30" width="17.5555555555556" style="3" customWidth="1"/>
    <col min="31" max="32" width="16.4444444444444" style="3" customWidth="1"/>
    <col min="33" max="33" width="16.2314814814815" style="3" customWidth="1"/>
    <col min="34" max="34" width="16.4444444444444" style="3" customWidth="1"/>
    <col min="35" max="36" width="10.7777777777778" customWidth="1"/>
    <col min="37" max="41" width="9" customWidth="1"/>
    <col min="42" max="42" width="32.6944444444444" customWidth="1"/>
    <col min="43" max="43" width="23.0185185185185" customWidth="1"/>
    <col min="44" max="44" width="9" customWidth="1"/>
    <col min="45" max="45" width="11.8981481481481" customWidth="1"/>
    <col min="46" max="46" width="13.4444444444444" customWidth="1"/>
    <col min="47" max="47" width="9" customWidth="1"/>
    <col min="48" max="48" width="11.8425925925926" customWidth="1"/>
    <col min="49" max="49" width="10.7777777777778" customWidth="1"/>
    <col min="50" max="50" width="18.6666666666667"/>
    <col min="52" max="56" width="14.0740740740741" style="4"/>
  </cols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数据统计</vt:lpstr>
      <vt:lpstr>资产表</vt:lpstr>
      <vt:lpstr>暴露面</vt:lpstr>
      <vt:lpstr>资产漏洞表</vt:lpstr>
      <vt:lpstr>告警表</vt:lpstr>
      <vt:lpstr>事件表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π</cp:lastModifiedBy>
  <dcterms:created xsi:type="dcterms:W3CDTF">2023-05-19T07:58:00Z</dcterms:created>
  <dcterms:modified xsi:type="dcterms:W3CDTF">2026-05-20T02:06:35Z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BAE9F7C6A69F086D2E409368F7114755_43</vt:lpwstr>
  </property>
  <property fmtid="{D5CDD505-2E9C-101B-9397-08002B2CF9AE}" pid="3" name="KSOProductBuildVer">
    <vt:lpwstr>2052-12.1.0.25865</vt:lpwstr>
  </property>
  <property fmtid="{D5CDD505-2E9C-101B-9397-08002B2CF9AE}" pid="4" name="KSOTemplateUUID">
    <vt:lpwstr>v1.0_mb_VL70KuMiRIZrijaVhgeoWQ==</vt:lpwstr>
  </property>
  <property fmtid="{D5CDD505-2E9C-101B-9397-08002B2CF9AE}" pid="5" name="CalculationRule">
    <vt:i4>0</vt:i4>
  </property>
</Properties>
</file>